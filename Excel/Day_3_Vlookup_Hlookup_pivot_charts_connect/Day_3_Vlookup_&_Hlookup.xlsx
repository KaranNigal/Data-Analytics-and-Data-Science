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M:\Data Analytics and Data science\Excel\Day_3_Vlookup_Hlookup\"/>
    </mc:Choice>
  </mc:AlternateContent>
  <xr:revisionPtr revIDLastSave="0" documentId="13_ncr:1_{60E24EF7-F560-4E03-A5B5-4578A32ABA7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VlookupExact" sheetId="2" r:id="rId1"/>
    <sheet name="HlookupExact" sheetId="6" r:id="rId2"/>
    <sheet name="VlookupAproximate" sheetId="3" r:id="rId3"/>
    <sheet name="VlookupFull Record" sheetId="4" r:id="rId4"/>
    <sheet name="Sheet1" sheetId="7" r:id="rId5"/>
  </sheets>
  <definedNames>
    <definedName name="DLBoomerangs">VlookupExact!$A$5:$A$12</definedName>
    <definedName name="VTable">VlookupExact!$A$5:$D$12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4" l="1"/>
  <c r="D17" i="4"/>
  <c r="B17" i="4"/>
  <c r="C20" i="4"/>
  <c r="D20" i="4"/>
  <c r="C19" i="4"/>
  <c r="D19" i="4"/>
  <c r="C18" i="4"/>
  <c r="D18" i="4"/>
  <c r="D16" i="4"/>
  <c r="C16" i="4"/>
  <c r="B20" i="4"/>
  <c r="B19" i="4"/>
  <c r="B18" i="4"/>
  <c r="B16" i="4"/>
  <c r="B22" i="3"/>
  <c r="B21" i="3"/>
  <c r="B19" i="3"/>
  <c r="B20" i="3"/>
  <c r="B18" i="3"/>
  <c r="B17" i="3"/>
  <c r="B14" i="6"/>
  <c r="B12" i="6"/>
  <c r="B11" i="6"/>
  <c r="B10" i="6"/>
  <c r="B26" i="2"/>
  <c r="D26" i="2" s="1"/>
  <c r="B22" i="2"/>
  <c r="D22" i="2" s="1"/>
  <c r="B17" i="2"/>
  <c r="D17" i="2" s="1"/>
  <c r="B18" i="2"/>
  <c r="D18" i="2" s="1"/>
  <c r="B16" i="2"/>
  <c r="D16" i="2" s="1"/>
  <c r="B15" i="2"/>
  <c r="D15" i="2" s="1"/>
  <c r="E3" i="2"/>
  <c r="E2" i="2"/>
  <c r="E1" i="2"/>
  <c r="A6" i="3" l="1"/>
  <c r="A7" i="3"/>
  <c r="A10" i="3" l="1"/>
  <c r="A9" i="3"/>
  <c r="A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1776A-2CED-46A5-8BD2-D54071042183}" keepAlive="1" name="Query - sales1" description="Connection to the 'sales1' query in the workbook." type="5" refreshedVersion="0" background="1" saveData="1">
    <dbPr connection="Provider=Microsoft.Mashup.OleDb.1;Data Source=$Workbook$;Location=sales1;Extended Properties=&quot;&quot;" command="SELECT * FROM [sales1]"/>
  </connection>
</connections>
</file>

<file path=xl/sharedStrings.xml><?xml version="1.0" encoding="utf-8"?>
<sst xmlns="http://schemas.openxmlformats.org/spreadsheetml/2006/main" count="129" uniqueCount="60">
  <si>
    <t>Price</t>
  </si>
  <si>
    <t>1000-165-B100</t>
  </si>
  <si>
    <t>1001-540-C101</t>
  </si>
  <si>
    <t>1002-394-M102</t>
  </si>
  <si>
    <t>1003-307-Q103</t>
  </si>
  <si>
    <t>1004-848-S104</t>
  </si>
  <si>
    <t>1005-155-S105</t>
  </si>
  <si>
    <t>1006-552-T106</t>
  </si>
  <si>
    <t>1007-634-O107</t>
  </si>
  <si>
    <t>Sales Amount</t>
  </si>
  <si>
    <t>Category</t>
  </si>
  <si>
    <t>Commission Paid</t>
  </si>
  <si>
    <t>Good</t>
  </si>
  <si>
    <t>Very Good</t>
  </si>
  <si>
    <t>Excellent</t>
  </si>
  <si>
    <t>VLOOKUP with Exact Match</t>
  </si>
  <si>
    <t>Top Products</t>
  </si>
  <si>
    <t>Units</t>
  </si>
  <si>
    <t>Total</t>
  </si>
  <si>
    <t>VLOOKUP and Data Validation</t>
  </si>
  <si>
    <t>VLOOKUP with Named Range</t>
  </si>
  <si>
    <t>HLOOKUP</t>
  </si>
  <si>
    <t>H = Horizontal</t>
  </si>
  <si>
    <t>VLOOKUP with Approximate Match</t>
  </si>
  <si>
    <t>How Vlookup Recognizes Values for Commission</t>
  </si>
  <si>
    <t>Fair</t>
  </si>
  <si>
    <t>OK</t>
  </si>
  <si>
    <t>Less than 1st Value in Lookup Column displays value as #NA</t>
  </si>
  <si>
    <t>Lookup Value Column should be sorted in ascending order</t>
  </si>
  <si>
    <t>Leaving 4th Argument Blank makes it as Approximate Match</t>
  </si>
  <si>
    <t>Sales Done</t>
  </si>
  <si>
    <t>Commision Received</t>
  </si>
  <si>
    <t>Vlookup : Show Full Record</t>
  </si>
  <si>
    <t>Prerequisite is Match Function</t>
  </si>
  <si>
    <t xml:space="preserve">V= Vertical </t>
  </si>
  <si>
    <t>Quantity</t>
  </si>
  <si>
    <t>Product Code</t>
  </si>
  <si>
    <t>Watches</t>
  </si>
  <si>
    <t>Camera</t>
  </si>
  <si>
    <t>Mobile</t>
  </si>
  <si>
    <t>Shoes</t>
  </si>
  <si>
    <t>Clothes</t>
  </si>
  <si>
    <t>Laptop</t>
  </si>
  <si>
    <t>Perfumes</t>
  </si>
  <si>
    <t>Cosmetics</t>
  </si>
  <si>
    <t>Lookup Value should be unique in the column</t>
  </si>
  <si>
    <t>You can find values from left to right</t>
  </si>
  <si>
    <t>Lookup value should be belong to first colum of table array</t>
  </si>
  <si>
    <t>Vlookup Rules</t>
  </si>
  <si>
    <t>shoes</t>
  </si>
  <si>
    <t>camera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</si>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</sst>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[$$-2809]#,##0.00"/>
    <numFmt numFmtId="165" formatCode="[$$-1009]#,##0;[Red][$$-1009]#,##0"/>
    <numFmt numFmtId="166" formatCode="[$$-409]#,##0.00;[Red][$$-409]#,##0.00"/>
    <numFmt numFmtId="167" formatCode="[$$-409]#,##0.00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2060"/>
      <name val="Cambria"/>
      <family val="1"/>
    </font>
    <font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/>
    <xf numFmtId="0" fontId="1" fillId="0" borderId="1" xfId="0" applyFont="1" applyBorder="1"/>
    <xf numFmtId="8" fontId="1" fillId="0" borderId="1" xfId="0" applyNumberFormat="1" applyFont="1" applyBorder="1"/>
    <xf numFmtId="0" fontId="1" fillId="0" borderId="0" xfId="0" applyFont="1"/>
    <xf numFmtId="0" fontId="4" fillId="0" borderId="0" xfId="0" applyFont="1"/>
    <xf numFmtId="0" fontId="1" fillId="3" borderId="1" xfId="0" applyFont="1" applyFill="1" applyBorder="1"/>
    <xf numFmtId="0" fontId="1" fillId="3" borderId="0" xfId="0" applyFont="1" applyFill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5" fillId="4" borderId="2" xfId="0" applyFont="1" applyFill="1" applyBorder="1"/>
    <xf numFmtId="0" fontId="5" fillId="4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indent="1"/>
    </xf>
    <xf numFmtId="8" fontId="1" fillId="0" borderId="0" xfId="0" applyNumberFormat="1" applyFont="1"/>
    <xf numFmtId="0" fontId="3" fillId="2" borderId="0" xfId="0" applyFont="1" applyFill="1"/>
    <xf numFmtId="166" fontId="1" fillId="0" borderId="1" xfId="0" applyNumberFormat="1" applyFont="1" applyBorder="1"/>
    <xf numFmtId="167" fontId="1" fillId="0" borderId="1" xfId="0" applyNumberFormat="1" applyFont="1" applyBorder="1"/>
    <xf numFmtId="167" fontId="1" fillId="0" borderId="1" xfId="0" applyNumberFormat="1" applyFont="1" applyBorder="1" applyAlignment="1">
      <alignment horizontal="right"/>
    </xf>
    <xf numFmtId="0" fontId="1" fillId="0" borderId="3" xfId="0" applyFont="1" applyBorder="1"/>
    <xf numFmtId="0" fontId="5" fillId="4" borderId="4" xfId="0" applyFont="1" applyFill="1" applyBorder="1"/>
    <xf numFmtId="0" fontId="5" fillId="4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8" fontId="1" fillId="0" borderId="7" xfId="0" applyNumberFormat="1" applyFont="1" applyBorder="1"/>
    <xf numFmtId="0" fontId="0" fillId="0" borderId="1" xfId="0" applyBorder="1"/>
    <xf numFmtId="0" fontId="1" fillId="5" borderId="1" xfId="0" applyFont="1" applyFill="1" applyBorder="1"/>
    <xf numFmtId="167" fontId="1" fillId="3" borderId="1" xfId="0" applyNumberFormat="1" applyFont="1" applyFill="1" applyBorder="1"/>
    <xf numFmtId="0" fontId="1" fillId="3" borderId="1" xfId="0" applyFont="1" applyFill="1" applyBorder="1"/>
    <xf numFmtId="0" fontId="1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EFDFE-D5A8-465A-B7D7-18912014973F}" name="karan" displayName="karan" ref="A4:D12" totalsRowShown="0" headerRowDxfId="7" headerRowBorderDxfId="6" tableBorderDxfId="5" totalsRowBorderDxfId="4">
  <autoFilter ref="A4:D12" xr:uid="{2B4EFDFE-D5A8-465A-B7D7-18912014973F}"/>
  <tableColumns count="4">
    <tableColumn id="1" xr3:uid="{83B55596-B0E6-40DD-AE2B-4A13EE6C45D9}" name="Top Products" dataDxfId="3"/>
    <tableColumn id="2" xr3:uid="{2570A5FA-AA3A-4499-B63A-0EE6C946CB3B}" name="Product Code" dataDxfId="2"/>
    <tableColumn id="3" xr3:uid="{326E496C-6A8A-4877-92D0-7197EC8F3230}" name="Quantity" dataDxfId="1"/>
    <tableColumn id="4" xr3:uid="{33BA1049-1D0A-4902-A2B1-9171CDE467AA}" name="Pric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74F6B3-C0DD-4D22-B8CF-ED5B004AD985}" name="Table2" displayName="Table2" ref="B6:J20" totalsRowShown="0">
  <autoFilter ref="B6:J20" xr:uid="{BB74F6B3-C0DD-4D22-B8CF-ED5B004AD985}"/>
  <tableColumns count="9">
    <tableColumn id="1" xr3:uid="{376FC6C0-CACD-45E8-B2F7-B6BA44BD30FB}" name="Column1"/>
    <tableColumn id="2" xr3:uid="{C92061AD-8310-4994-A7E7-6D9A267F85B8}" name="Column2"/>
    <tableColumn id="3" xr3:uid="{366B6E73-187D-4BCA-B37E-23EECAC89D1C}" name="Column3"/>
    <tableColumn id="4" xr3:uid="{43F76230-8BBF-4B6D-81AC-04A0553AAC23}" name="Column4"/>
    <tableColumn id="5" xr3:uid="{2A769156-F2DA-49B8-ABF2-2C90CBC87E8F}" name="Column5"/>
    <tableColumn id="6" xr3:uid="{32329D03-DD20-47C2-A32F-C9C3EFCF7FB7}" name="Column6"/>
    <tableColumn id="7" xr3:uid="{8CEA90B5-C1EB-41FB-863A-A54D0BB5529E}" name="Column7"/>
    <tableColumn id="8" xr3:uid="{8F129756-A8A0-4CEA-8627-A74D0CA0B475}" name="Column8"/>
    <tableColumn id="9" xr3:uid="{EA8B8B3F-7384-4E8F-B05C-654F66235FE5}" name="Column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showGridLines="0" tabSelected="1" zoomScale="71" zoomScaleNormal="71" workbookViewId="0">
      <selection activeCell="D29" sqref="D29"/>
    </sheetView>
  </sheetViews>
  <sheetFormatPr defaultColWidth="9.1328125" defaultRowHeight="21" x14ac:dyDescent="0.65"/>
  <cols>
    <col min="1" max="1" width="40.53125" style="4" bestFit="1" customWidth="1"/>
    <col min="2" max="2" width="21.6640625" style="4" bestFit="1" customWidth="1"/>
    <col min="3" max="3" width="20.53125" style="4" bestFit="1" customWidth="1"/>
    <col min="4" max="4" width="25.796875" style="4" customWidth="1"/>
    <col min="5" max="6" width="21.6640625" style="4" customWidth="1"/>
    <col min="7" max="7" width="8.46484375" style="4" customWidth="1"/>
    <col min="8" max="8" width="73.46484375" style="4" customWidth="1"/>
    <col min="9" max="9" width="20.46484375" style="4" bestFit="1" customWidth="1"/>
    <col min="10" max="16384" width="9.1328125" style="4"/>
  </cols>
  <sheetData>
    <row r="1" spans="1:11" x14ac:dyDescent="0.65">
      <c r="A1" s="13" t="s">
        <v>15</v>
      </c>
      <c r="D1" s="2" t="s">
        <v>6</v>
      </c>
      <c r="E1" s="13">
        <f>VLOOKUP(D1,karan[[#All],[Product Code]:[Price]],3,0)</f>
        <v>20.95</v>
      </c>
      <c r="G1" s="12"/>
      <c r="H1" s="12" t="s">
        <v>48</v>
      </c>
      <c r="I1" s="10"/>
      <c r="J1" s="10"/>
      <c r="K1" s="10"/>
    </row>
    <row r="2" spans="1:11" x14ac:dyDescent="0.65">
      <c r="A2" s="14" t="s">
        <v>34</v>
      </c>
      <c r="D2" s="2" t="s">
        <v>5</v>
      </c>
      <c r="E2" s="6">
        <f>VLOOKUP(D2,karan[[#All],[Product Code]:[Price]],3,FALSE)</f>
        <v>18.95</v>
      </c>
      <c r="G2" s="2">
        <v>1</v>
      </c>
      <c r="H2" s="11" t="s">
        <v>45</v>
      </c>
      <c r="I2" s="10"/>
      <c r="J2" s="10"/>
      <c r="K2" s="10"/>
    </row>
    <row r="3" spans="1:11" ht="23.25" customHeight="1" x14ac:dyDescent="0.65">
      <c r="D3" s="2" t="s">
        <v>2</v>
      </c>
      <c r="E3" s="4">
        <f>VLOOKUP(D3,karan[[#All],[Product Code]:[Price]],3,FALSE)</f>
        <v>28.95</v>
      </c>
      <c r="G3" s="2">
        <v>2</v>
      </c>
      <c r="H3" s="11" t="s">
        <v>46</v>
      </c>
      <c r="I3" s="10"/>
      <c r="J3" s="10"/>
      <c r="K3" s="10"/>
    </row>
    <row r="4" spans="1:11" ht="21.75" customHeight="1" x14ac:dyDescent="0.65">
      <c r="A4" s="23" t="s">
        <v>16</v>
      </c>
      <c r="B4" s="24" t="s">
        <v>36</v>
      </c>
      <c r="C4" s="24" t="s">
        <v>35</v>
      </c>
      <c r="D4" s="24" t="s">
        <v>0</v>
      </c>
      <c r="E4" s="17"/>
      <c r="F4" s="17"/>
      <c r="G4" s="2">
        <v>3</v>
      </c>
      <c r="H4" s="11" t="s">
        <v>47</v>
      </c>
    </row>
    <row r="5" spans="1:11" x14ac:dyDescent="0.65">
      <c r="A5" s="22" t="s">
        <v>39</v>
      </c>
      <c r="B5" s="2" t="s">
        <v>1</v>
      </c>
      <c r="C5" s="2">
        <v>25</v>
      </c>
      <c r="D5" s="3">
        <v>26.95</v>
      </c>
      <c r="E5" s="17"/>
      <c r="F5" s="17"/>
    </row>
    <row r="6" spans="1:11" x14ac:dyDescent="0.65">
      <c r="A6" s="22" t="s">
        <v>39</v>
      </c>
      <c r="B6" s="2" t="s">
        <v>2</v>
      </c>
      <c r="C6" s="2">
        <v>20</v>
      </c>
      <c r="D6" s="3">
        <v>28.95</v>
      </c>
      <c r="E6" s="17"/>
      <c r="F6" s="17"/>
    </row>
    <row r="7" spans="1:11" x14ac:dyDescent="0.65">
      <c r="A7" s="22" t="s">
        <v>37</v>
      </c>
      <c r="B7" s="2" t="s">
        <v>3</v>
      </c>
      <c r="C7" s="2">
        <v>35</v>
      </c>
      <c r="D7" s="3">
        <v>31.95</v>
      </c>
      <c r="E7" s="17"/>
      <c r="F7" s="17"/>
    </row>
    <row r="8" spans="1:11" x14ac:dyDescent="0.65">
      <c r="A8" s="22" t="s">
        <v>44</v>
      </c>
      <c r="B8" s="2" t="s">
        <v>4</v>
      </c>
      <c r="C8" s="2">
        <v>20</v>
      </c>
      <c r="D8" s="3">
        <v>35.950000000000003</v>
      </c>
      <c r="E8" s="17"/>
      <c r="F8" s="17"/>
    </row>
    <row r="9" spans="1:11" x14ac:dyDescent="0.65">
      <c r="A9" s="22" t="s">
        <v>40</v>
      </c>
      <c r="B9" s="2" t="s">
        <v>5</v>
      </c>
      <c r="C9" s="2">
        <v>30</v>
      </c>
      <c r="D9" s="3">
        <v>18.95</v>
      </c>
      <c r="E9" s="17"/>
      <c r="F9" s="17"/>
    </row>
    <row r="10" spans="1:11" x14ac:dyDescent="0.65">
      <c r="A10" s="22" t="s">
        <v>39</v>
      </c>
      <c r="B10" s="2" t="s">
        <v>6</v>
      </c>
      <c r="C10" s="2">
        <v>40</v>
      </c>
      <c r="D10" s="3">
        <v>20.95</v>
      </c>
      <c r="E10" s="17"/>
    </row>
    <row r="11" spans="1:11" x14ac:dyDescent="0.65">
      <c r="A11" s="22" t="s">
        <v>43</v>
      </c>
      <c r="B11" s="2" t="s">
        <v>7</v>
      </c>
      <c r="C11" s="2">
        <v>1</v>
      </c>
      <c r="D11" s="3">
        <v>4.95</v>
      </c>
      <c r="E11" s="17"/>
      <c r="F11" s="17"/>
    </row>
    <row r="12" spans="1:11" x14ac:dyDescent="0.65">
      <c r="A12" s="25" t="s">
        <v>41</v>
      </c>
      <c r="B12" s="26" t="s">
        <v>8</v>
      </c>
      <c r="C12" s="26">
        <v>5</v>
      </c>
      <c r="D12" s="27">
        <v>8.9499999999999993</v>
      </c>
      <c r="E12" s="17"/>
      <c r="F12" s="17"/>
    </row>
    <row r="14" spans="1:11" x14ac:dyDescent="0.65">
      <c r="A14" s="12" t="s">
        <v>16</v>
      </c>
      <c r="B14" s="12" t="s">
        <v>0</v>
      </c>
      <c r="C14" s="12" t="s">
        <v>17</v>
      </c>
      <c r="D14" s="12" t="s">
        <v>18</v>
      </c>
    </row>
    <row r="15" spans="1:11" x14ac:dyDescent="0.65">
      <c r="A15" s="2" t="s">
        <v>43</v>
      </c>
      <c r="B15" s="6">
        <f>VLOOKUP(A15,A4:D12,4,0)</f>
        <v>4.95</v>
      </c>
      <c r="C15" s="2">
        <v>4</v>
      </c>
      <c r="D15" s="6">
        <f>B15*C15</f>
        <v>19.8</v>
      </c>
    </row>
    <row r="16" spans="1:11" x14ac:dyDescent="0.65">
      <c r="A16" s="2" t="s">
        <v>39</v>
      </c>
      <c r="B16" s="6">
        <f>VLOOKUP(A16,karan[#All],4,FALSE)</f>
        <v>26.95</v>
      </c>
      <c r="C16" s="2">
        <v>3</v>
      </c>
      <c r="D16" s="6">
        <f>B16*C16</f>
        <v>80.849999999999994</v>
      </c>
    </row>
    <row r="17" spans="1:6" x14ac:dyDescent="0.65">
      <c r="A17" s="2" t="s">
        <v>44</v>
      </c>
      <c r="B17" s="6">
        <f>VLOOKUP(A17,karan[#All],4,FALSE)</f>
        <v>35.950000000000003</v>
      </c>
      <c r="C17" s="2">
        <v>2</v>
      </c>
      <c r="D17" s="6">
        <f>B17*C17</f>
        <v>71.900000000000006</v>
      </c>
    </row>
    <row r="18" spans="1:6" x14ac:dyDescent="0.65">
      <c r="A18" s="29" t="s">
        <v>40</v>
      </c>
      <c r="B18" s="6">
        <f>VLOOKUP(A18,karan[#All],4,FALSE)</f>
        <v>18.95</v>
      </c>
      <c r="C18" s="2">
        <v>5</v>
      </c>
      <c r="D18" s="6">
        <f>B18*C18</f>
        <v>94.75</v>
      </c>
    </row>
    <row r="20" spans="1:6" x14ac:dyDescent="0.65">
      <c r="A20" s="5" t="s">
        <v>19</v>
      </c>
      <c r="B20" s="5"/>
    </row>
    <row r="21" spans="1:6" x14ac:dyDescent="0.65">
      <c r="A21" s="1" t="s">
        <v>16</v>
      </c>
      <c r="B21" s="1" t="s">
        <v>0</v>
      </c>
      <c r="C21" s="1" t="s">
        <v>17</v>
      </c>
      <c r="D21" s="1" t="s">
        <v>18</v>
      </c>
      <c r="E21" s="18"/>
      <c r="F21" s="18"/>
    </row>
    <row r="22" spans="1:6" x14ac:dyDescent="0.65">
      <c r="A22" s="2" t="s">
        <v>39</v>
      </c>
      <c r="B22" s="6">
        <f>VLOOKUP(A22,karan[#All],4,0)</f>
        <v>26.95</v>
      </c>
      <c r="C22" s="2">
        <v>4</v>
      </c>
      <c r="D22" s="6">
        <f>B22*C22</f>
        <v>107.8</v>
      </c>
      <c r="E22" s="7"/>
      <c r="F22" s="7"/>
    </row>
    <row r="24" spans="1:6" x14ac:dyDescent="0.65">
      <c r="A24" s="5" t="s">
        <v>20</v>
      </c>
      <c r="B24" s="5"/>
    </row>
    <row r="25" spans="1:6" x14ac:dyDescent="0.65">
      <c r="A25" s="1" t="s">
        <v>16</v>
      </c>
      <c r="B25" s="1" t="s">
        <v>0</v>
      </c>
      <c r="C25" s="1" t="s">
        <v>17</v>
      </c>
      <c r="D25" s="1" t="s">
        <v>18</v>
      </c>
      <c r="E25" s="18"/>
      <c r="F25" s="18"/>
    </row>
    <row r="26" spans="1:6" x14ac:dyDescent="0.65">
      <c r="A26" s="2" t="s">
        <v>43</v>
      </c>
      <c r="B26" s="6">
        <f>VLOOKUP(A26,karan[],4,0)</f>
        <v>4.95</v>
      </c>
      <c r="C26" s="2">
        <v>4</v>
      </c>
      <c r="D26" s="6">
        <f>B26*C26</f>
        <v>19.8</v>
      </c>
      <c r="E26" s="7"/>
      <c r="F26" s="7"/>
    </row>
  </sheetData>
  <dataValidations count="2">
    <dataValidation type="list" allowBlank="1" showInputMessage="1" showErrorMessage="1" sqref="A30" xr:uid="{00000000-0002-0000-0000-000000000000}">
      <formula1>DLBoomerangs</formula1>
    </dataValidation>
    <dataValidation type="list" allowBlank="1" showInputMessage="1" showErrorMessage="1" sqref="A22" xr:uid="{80FC2517-3158-4DB5-A4C5-C52C195AD755}">
      <formula1>$A$4:$A$12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topLeftCell="A2" workbookViewId="0">
      <selection activeCell="A19" sqref="A19"/>
    </sheetView>
  </sheetViews>
  <sheetFormatPr defaultRowHeight="14.25" x14ac:dyDescent="0.45"/>
  <cols>
    <col min="1" max="1" width="27.6640625" bestFit="1" customWidth="1"/>
    <col min="2" max="3" width="20.53125" bestFit="1" customWidth="1"/>
    <col min="4" max="4" width="21.6640625" bestFit="1" customWidth="1"/>
    <col min="5" max="5" width="21" bestFit="1" customWidth="1"/>
    <col min="6" max="7" width="20.46484375" bestFit="1" customWidth="1"/>
  </cols>
  <sheetData>
    <row r="1" spans="1:7" s="4" customFormat="1" ht="21" x14ac:dyDescent="0.65">
      <c r="A1" s="12" t="s">
        <v>21</v>
      </c>
    </row>
    <row r="2" spans="1:7" s="4" customFormat="1" ht="21" x14ac:dyDescent="0.65">
      <c r="A2" s="12" t="s">
        <v>22</v>
      </c>
    </row>
    <row r="3" spans="1:7" s="4" customFormat="1" ht="21" x14ac:dyDescent="0.65"/>
    <row r="4" spans="1:7" s="4" customFormat="1" ht="21" x14ac:dyDescent="0.65">
      <c r="A4" s="12" t="s">
        <v>16</v>
      </c>
      <c r="B4" s="2" t="s">
        <v>39</v>
      </c>
      <c r="C4" s="2" t="s">
        <v>38</v>
      </c>
      <c r="D4" s="2" t="s">
        <v>37</v>
      </c>
      <c r="E4" s="2" t="s">
        <v>44</v>
      </c>
      <c r="F4" s="2" t="s">
        <v>40</v>
      </c>
      <c r="G4" s="2" t="s">
        <v>42</v>
      </c>
    </row>
    <row r="5" spans="1:7" s="4" customFormat="1" ht="21" x14ac:dyDescent="0.65">
      <c r="A5" s="12" t="s">
        <v>36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</row>
    <row r="6" spans="1:7" s="4" customFormat="1" ht="21" x14ac:dyDescent="0.65">
      <c r="A6" s="12" t="s">
        <v>35</v>
      </c>
      <c r="B6" s="2">
        <v>25</v>
      </c>
      <c r="C6" s="2">
        <v>20</v>
      </c>
      <c r="D6" s="2">
        <v>35</v>
      </c>
      <c r="E6" s="2">
        <v>20</v>
      </c>
      <c r="F6" s="2">
        <v>30</v>
      </c>
      <c r="G6" s="2">
        <v>1</v>
      </c>
    </row>
    <row r="7" spans="1:7" s="4" customFormat="1" ht="21" x14ac:dyDescent="0.65">
      <c r="A7" s="12" t="s">
        <v>0</v>
      </c>
      <c r="B7" s="3">
        <v>26.95</v>
      </c>
      <c r="C7" s="3">
        <v>28.95</v>
      </c>
      <c r="D7" s="3">
        <v>31.95</v>
      </c>
      <c r="E7" s="3">
        <v>35.950000000000003</v>
      </c>
      <c r="F7" s="3">
        <v>18.95</v>
      </c>
      <c r="G7" s="3">
        <v>4.95</v>
      </c>
    </row>
    <row r="8" spans="1:7" s="4" customFormat="1" ht="21" x14ac:dyDescent="0.65"/>
    <row r="9" spans="1:7" s="4" customFormat="1" ht="21" x14ac:dyDescent="0.65">
      <c r="A9" s="12" t="s">
        <v>16</v>
      </c>
      <c r="B9" s="12" t="s">
        <v>0</v>
      </c>
    </row>
    <row r="10" spans="1:7" s="4" customFormat="1" ht="21" x14ac:dyDescent="0.65">
      <c r="A10" s="2" t="s">
        <v>44</v>
      </c>
      <c r="B10" s="6">
        <f>HLOOKUP(A10,B4:G7,4,FALSE)</f>
        <v>35.950000000000003</v>
      </c>
    </row>
    <row r="11" spans="1:7" x14ac:dyDescent="0.45">
      <c r="A11" s="28" t="s">
        <v>50</v>
      </c>
      <c r="B11" s="28">
        <f>HLOOKUP(A11,B4:G7,4,FALSE)</f>
        <v>28.95</v>
      </c>
    </row>
    <row r="12" spans="1:7" ht="21" x14ac:dyDescent="0.65">
      <c r="A12" s="2" t="s">
        <v>40</v>
      </c>
      <c r="B12" s="28">
        <f>HLOOKUP(A12,B4:G7,4,FALSE)</f>
        <v>18.95</v>
      </c>
    </row>
    <row r="14" spans="1:7" x14ac:dyDescent="0.45">
      <c r="A14" t="s">
        <v>49</v>
      </c>
      <c r="B14">
        <f>HLOOKUP(A14,B4:G7,4,FALSE)</f>
        <v>18.95</v>
      </c>
    </row>
    <row r="15" spans="1:7" x14ac:dyDescent="0.45">
      <c r="A1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zoomScale="108" zoomScaleNormal="108" workbookViewId="0">
      <selection activeCell="B23" sqref="B23:C23"/>
    </sheetView>
  </sheetViews>
  <sheetFormatPr defaultColWidth="9.1328125" defaultRowHeight="21" x14ac:dyDescent="0.65"/>
  <cols>
    <col min="1" max="1" width="61.86328125" style="4" bestFit="1" customWidth="1"/>
    <col min="2" max="2" width="27" style="4" bestFit="1" customWidth="1"/>
    <col min="3" max="3" width="27.33203125" style="4" customWidth="1"/>
    <col min="4" max="4" width="25.46484375" style="4" bestFit="1" customWidth="1"/>
    <col min="5" max="16384" width="9.1328125" style="4"/>
  </cols>
  <sheetData>
    <row r="1" spans="1:4" x14ac:dyDescent="0.65">
      <c r="A1" s="12" t="s">
        <v>23</v>
      </c>
    </row>
    <row r="2" spans="1:4" x14ac:dyDescent="0.65">
      <c r="A2" s="16"/>
    </row>
    <row r="5" spans="1:4" x14ac:dyDescent="0.65">
      <c r="A5" s="12" t="s">
        <v>24</v>
      </c>
      <c r="B5" s="12" t="s">
        <v>9</v>
      </c>
      <c r="C5" s="12" t="s">
        <v>10</v>
      </c>
      <c r="D5" s="12" t="s">
        <v>11</v>
      </c>
    </row>
    <row r="6" spans="1:4" x14ac:dyDescent="0.65">
      <c r="A6" s="8" t="str">
        <f>DOLLAR(B60,0)&amp;" &lt;= Sales &lt; "&amp;DOLLAR(B7,0)</f>
        <v>₹ 0 &lt;= Sales &lt; ₹ 2,000</v>
      </c>
      <c r="B6" s="9">
        <v>10</v>
      </c>
      <c r="C6" s="2" t="s">
        <v>25</v>
      </c>
      <c r="D6" s="3">
        <v>0</v>
      </c>
    </row>
    <row r="7" spans="1:4" x14ac:dyDescent="0.65">
      <c r="A7" s="8" t="str">
        <f>DOLLAR(B7,0)&amp;" &lt;= Sales &lt; "&amp;DOLLAR(B8,0)</f>
        <v>₹ 2,000 &lt;= Sales &lt; ₹ 3,000</v>
      </c>
      <c r="B7" s="9">
        <v>2000</v>
      </c>
      <c r="C7" s="2" t="s">
        <v>26</v>
      </c>
      <c r="D7" s="3">
        <v>40</v>
      </c>
    </row>
    <row r="8" spans="1:4" x14ac:dyDescent="0.65">
      <c r="A8" s="8" t="str">
        <f>DOLLAR(B8,0)&amp;" &lt;= Sales &lt; "&amp;DOLLAR(B9,0)</f>
        <v>₹ 3,000 &lt;= Sales &lt; ₹ 5,000</v>
      </c>
      <c r="B8" s="9">
        <v>3000</v>
      </c>
      <c r="C8" s="2" t="s">
        <v>12</v>
      </c>
      <c r="D8" s="3">
        <v>200</v>
      </c>
    </row>
    <row r="9" spans="1:4" x14ac:dyDescent="0.65">
      <c r="A9" s="8" t="str">
        <f>DOLLAR(B9,0)&amp;" &lt;= Sales &lt; "&amp;DOLLAR(B10,0)</f>
        <v>₹ 5,000 &lt;= Sales &lt; ₹ 10,000</v>
      </c>
      <c r="B9" s="9">
        <v>5000</v>
      </c>
      <c r="C9" s="2" t="s">
        <v>13</v>
      </c>
      <c r="D9" s="3">
        <v>500</v>
      </c>
    </row>
    <row r="10" spans="1:4" x14ac:dyDescent="0.65">
      <c r="A10" s="8" t="str">
        <f>DOLLAR(B10,0)&amp;" &gt;= Sales"</f>
        <v>₹ 10,000 &gt;= Sales</v>
      </c>
      <c r="B10" s="9">
        <v>10000</v>
      </c>
      <c r="C10" s="2" t="s">
        <v>14</v>
      </c>
      <c r="D10" s="3">
        <v>1400</v>
      </c>
    </row>
    <row r="12" spans="1:4" x14ac:dyDescent="0.65">
      <c r="A12" s="32" t="s">
        <v>27</v>
      </c>
      <c r="B12" s="32"/>
    </row>
    <row r="13" spans="1:4" x14ac:dyDescent="0.65">
      <c r="A13" s="32" t="s">
        <v>28</v>
      </c>
      <c r="B13" s="32"/>
    </row>
    <row r="14" spans="1:4" x14ac:dyDescent="0.65">
      <c r="A14" s="32" t="s">
        <v>29</v>
      </c>
      <c r="B14" s="32"/>
    </row>
    <row r="16" spans="1:4" x14ac:dyDescent="0.65">
      <c r="A16" s="12" t="s">
        <v>30</v>
      </c>
      <c r="B16" s="12" t="s">
        <v>31</v>
      </c>
      <c r="C16" s="12"/>
    </row>
    <row r="17" spans="1:3" x14ac:dyDescent="0.65">
      <c r="A17" s="3">
        <v>1300</v>
      </c>
      <c r="B17" s="31">
        <f>VLOOKUP(A17,B6:D10,3,TRUE)</f>
        <v>0</v>
      </c>
      <c r="C17" s="31"/>
    </row>
    <row r="18" spans="1:3" x14ac:dyDescent="0.65">
      <c r="A18" s="19">
        <v>5</v>
      </c>
      <c r="B18" s="31" t="e">
        <f>VLOOKUP(A18,B6:D10,3,TRUE)</f>
        <v>#N/A</v>
      </c>
      <c r="C18" s="31"/>
    </row>
    <row r="19" spans="1:3" x14ac:dyDescent="0.65">
      <c r="A19" s="19">
        <v>3500</v>
      </c>
      <c r="B19" s="31">
        <f>VLOOKUP(A19,B5:D10,3,1)</f>
        <v>200</v>
      </c>
      <c r="C19" s="31"/>
    </row>
    <row r="20" spans="1:3" x14ac:dyDescent="0.65">
      <c r="A20" s="20">
        <v>2300</v>
      </c>
      <c r="B20" s="30">
        <f>VLOOKUP(A20,B6:D10,3,TRUE)</f>
        <v>40</v>
      </c>
      <c r="C20" s="30"/>
    </row>
    <row r="21" spans="1:3" x14ac:dyDescent="0.65">
      <c r="A21" s="21">
        <v>5700</v>
      </c>
      <c r="B21" s="30">
        <f>VLOOKUP(A21,B6:D10,3,TRUE)</f>
        <v>500</v>
      </c>
      <c r="C21" s="30"/>
    </row>
    <row r="22" spans="1:3" x14ac:dyDescent="0.65">
      <c r="A22" s="20">
        <v>5000</v>
      </c>
      <c r="B22" s="30">
        <f>VLOOKUP(A22,B6:D10,3,TRUE)</f>
        <v>500</v>
      </c>
      <c r="C22" s="30"/>
    </row>
    <row r="23" spans="1:3" x14ac:dyDescent="0.65">
      <c r="A23" s="2"/>
      <c r="B23" s="30"/>
      <c r="C23" s="30"/>
    </row>
  </sheetData>
  <mergeCells count="10">
    <mergeCell ref="A12:B12"/>
    <mergeCell ref="A13:B13"/>
    <mergeCell ref="A14:B14"/>
    <mergeCell ref="B17:C17"/>
    <mergeCell ref="B18:C18"/>
    <mergeCell ref="B21:C21"/>
    <mergeCell ref="B22:C22"/>
    <mergeCell ref="B23:C23"/>
    <mergeCell ref="B20:C20"/>
    <mergeCell ref="B19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zoomScaleNormal="100" workbookViewId="0">
      <selection activeCell="H16" sqref="H16"/>
    </sheetView>
  </sheetViews>
  <sheetFormatPr defaultColWidth="9.1328125" defaultRowHeight="21" x14ac:dyDescent="0.65"/>
  <cols>
    <col min="1" max="1" width="40.6640625" style="4" customWidth="1"/>
    <col min="2" max="2" width="28.86328125" style="4" customWidth="1"/>
    <col min="3" max="3" width="32" style="4" customWidth="1"/>
    <col min="4" max="4" width="32.6640625" style="4" customWidth="1"/>
    <col min="5" max="16384" width="9.1328125" style="4"/>
  </cols>
  <sheetData>
    <row r="1" spans="1:4" x14ac:dyDescent="0.65">
      <c r="A1" s="15" t="s">
        <v>32</v>
      </c>
    </row>
    <row r="2" spans="1:4" x14ac:dyDescent="0.65">
      <c r="A2" s="2" t="s">
        <v>33</v>
      </c>
    </row>
    <row r="5" spans="1:4" x14ac:dyDescent="0.65">
      <c r="A5" s="12" t="s">
        <v>16</v>
      </c>
      <c r="B5" s="12" t="s">
        <v>36</v>
      </c>
      <c r="C5" s="12" t="s">
        <v>35</v>
      </c>
      <c r="D5" s="12" t="s">
        <v>0</v>
      </c>
    </row>
    <row r="6" spans="1:4" x14ac:dyDescent="0.65">
      <c r="A6" s="2" t="s">
        <v>39</v>
      </c>
      <c r="B6" s="2" t="s">
        <v>1</v>
      </c>
      <c r="C6" s="2">
        <v>25</v>
      </c>
      <c r="D6" s="3">
        <v>26.95</v>
      </c>
    </row>
    <row r="7" spans="1:4" x14ac:dyDescent="0.65">
      <c r="A7" s="2" t="s">
        <v>38</v>
      </c>
      <c r="B7" s="2" t="s">
        <v>2</v>
      </c>
      <c r="C7" s="2">
        <v>20</v>
      </c>
      <c r="D7" s="3">
        <v>28.95</v>
      </c>
    </row>
    <row r="8" spans="1:4" x14ac:dyDescent="0.65">
      <c r="A8" s="2" t="s">
        <v>37</v>
      </c>
      <c r="B8" s="2" t="s">
        <v>3</v>
      </c>
      <c r="C8" s="2">
        <v>35</v>
      </c>
      <c r="D8" s="3">
        <v>31.95</v>
      </c>
    </row>
    <row r="9" spans="1:4" x14ac:dyDescent="0.65">
      <c r="A9" s="2" t="s">
        <v>44</v>
      </c>
      <c r="B9" s="2" t="s">
        <v>4</v>
      </c>
      <c r="C9" s="2">
        <v>20</v>
      </c>
      <c r="D9" s="3">
        <v>35.950000000000003</v>
      </c>
    </row>
    <row r="10" spans="1:4" x14ac:dyDescent="0.65">
      <c r="A10" s="2" t="s">
        <v>40</v>
      </c>
      <c r="B10" s="2" t="s">
        <v>5</v>
      </c>
      <c r="C10" s="2">
        <v>30</v>
      </c>
      <c r="D10" s="3">
        <v>18.95</v>
      </c>
    </row>
    <row r="11" spans="1:4" x14ac:dyDescent="0.65">
      <c r="A11" s="2" t="s">
        <v>42</v>
      </c>
      <c r="B11" s="2" t="s">
        <v>6</v>
      </c>
      <c r="C11" s="2">
        <v>40</v>
      </c>
      <c r="D11" s="3">
        <v>20.95</v>
      </c>
    </row>
    <row r="12" spans="1:4" x14ac:dyDescent="0.65">
      <c r="A12" s="2" t="s">
        <v>43</v>
      </c>
      <c r="B12" s="2" t="s">
        <v>7</v>
      </c>
      <c r="C12" s="2">
        <v>1</v>
      </c>
      <c r="D12" s="3">
        <v>4.95</v>
      </c>
    </row>
    <row r="13" spans="1:4" x14ac:dyDescent="0.65">
      <c r="A13" s="2" t="s">
        <v>41</v>
      </c>
      <c r="B13" s="2" t="s">
        <v>8</v>
      </c>
      <c r="C13" s="2">
        <v>5</v>
      </c>
      <c r="D13" s="3">
        <v>8.9499999999999993</v>
      </c>
    </row>
    <row r="14" spans="1:4" x14ac:dyDescent="0.65">
      <c r="A14" s="5"/>
    </row>
    <row r="15" spans="1:4" x14ac:dyDescent="0.65">
      <c r="A15" s="12" t="s">
        <v>16</v>
      </c>
      <c r="B15" s="12" t="s">
        <v>36</v>
      </c>
      <c r="C15" s="12" t="s">
        <v>35</v>
      </c>
      <c r="D15" s="12" t="s">
        <v>0</v>
      </c>
    </row>
    <row r="16" spans="1:4" x14ac:dyDescent="0.65">
      <c r="A16" s="2" t="s">
        <v>41</v>
      </c>
      <c r="B16" s="6" t="str">
        <f>VLOOKUP($A$16,$A$5:$D$13,MATCH(B15,$A$5:$D$5,0),0)</f>
        <v>1007-634-O107</v>
      </c>
      <c r="C16" s="6">
        <f>VLOOKUP($A$16,$A$5:$D$13,MATCH(C15,$A$5:$D$5,0),0)</f>
        <v>5</v>
      </c>
      <c r="D16" s="6">
        <f>VLOOKUP($A$16,$A$5:$D$13,MATCH(D15,$A$5:$D$5,0),0)</f>
        <v>8.9499999999999993</v>
      </c>
    </row>
    <row r="17" spans="1:4" x14ac:dyDescent="0.65">
      <c r="A17" s="2" t="s">
        <v>42</v>
      </c>
      <c r="B17" s="6" t="str">
        <f>VLOOKUP($A$17,$A$6:$D$13,MATCH(B15,$A$5:$D$5,0),0)</f>
        <v>1005-155-S105</v>
      </c>
      <c r="C17" s="6">
        <f t="shared" ref="C17:D17" si="0">VLOOKUP($A$17,$A$6:$D$13,MATCH(C15,$A$5:$D$5,0),0)</f>
        <v>40</v>
      </c>
      <c r="D17" s="6">
        <f t="shared" si="0"/>
        <v>20.95</v>
      </c>
    </row>
    <row r="18" spans="1:4" x14ac:dyDescent="0.65">
      <c r="A18" s="2" t="s">
        <v>37</v>
      </c>
      <c r="B18" s="6" t="str">
        <f>VLOOKUP($A$18,$A$5:$D$13,MATCH(B15,$A$5:$D$5,0),0)</f>
        <v>1002-394-M102</v>
      </c>
      <c r="C18" s="6">
        <f t="shared" ref="C18:D18" si="1">VLOOKUP($A$18,$A$5:$D$13,MATCH(C15,$A$5:$D$5,0),0)</f>
        <v>35</v>
      </c>
      <c r="D18" s="6">
        <f t="shared" si="1"/>
        <v>31.95</v>
      </c>
    </row>
    <row r="19" spans="1:4" x14ac:dyDescent="0.65">
      <c r="A19" s="2" t="s">
        <v>44</v>
      </c>
      <c r="B19" s="6" t="str">
        <f>VLOOKUP($A$19,$A$5:$D$13,MATCH(B15,$A$5:$D$5,0),0)</f>
        <v>1003-307-Q103</v>
      </c>
      <c r="C19" s="6">
        <f t="shared" ref="C19:D19" si="2">VLOOKUP($A$19,$A$5:$D$13,MATCH(C15,$A$5:$D$5,0),0)</f>
        <v>20</v>
      </c>
      <c r="D19" s="6">
        <f t="shared" si="2"/>
        <v>35.950000000000003</v>
      </c>
    </row>
    <row r="20" spans="1:4" x14ac:dyDescent="0.65">
      <c r="A20" s="2" t="s">
        <v>40</v>
      </c>
      <c r="B20" s="4" t="str">
        <f>VLOOKUP($A$20,$A$5:$D$13,MATCH(B15,$A$5:$D$5,0),0)</f>
        <v>1004-848-S104</v>
      </c>
      <c r="C20" s="4">
        <f t="shared" ref="C20:D20" si="3">VLOOKUP($A$20,$A$5:$D$13,MATCH(C15,$A$5:$D$5,0),0)</f>
        <v>30</v>
      </c>
      <c r="D20" s="4">
        <f t="shared" si="3"/>
        <v>18.95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3A7F-4A11-4251-8D28-B4D1FA992C05}">
  <dimension ref="B6:J6"/>
  <sheetViews>
    <sheetView workbookViewId="0">
      <selection activeCell="B6" sqref="B6:J20"/>
    </sheetView>
  </sheetViews>
  <sheetFormatPr defaultRowHeight="14.25" x14ac:dyDescent="0.45"/>
  <cols>
    <col min="2" max="10" width="10.46484375" customWidth="1"/>
  </cols>
  <sheetData>
    <row r="6" spans="2:10" x14ac:dyDescent="0.45"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673EE8-4F21-44FB-AFE9-10E319BED8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VlookupExact</vt:lpstr>
      <vt:lpstr>HlookupExact</vt:lpstr>
      <vt:lpstr>VlookupAproximate</vt:lpstr>
      <vt:lpstr>VlookupFull Record</vt:lpstr>
      <vt:lpstr>Sheet1</vt:lpstr>
      <vt:lpstr>DLBoomerangs</vt:lpstr>
      <vt:lpstr>VTable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Rieter</dc:creator>
  <cp:lastModifiedBy>karan nigal</cp:lastModifiedBy>
  <dcterms:created xsi:type="dcterms:W3CDTF">2016-07-13T16:57:05Z</dcterms:created>
  <dcterms:modified xsi:type="dcterms:W3CDTF">2026-10-18T13:02:59Z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1dac1fbd-e734-40c3-843f-bc06857eada1</vt:lpwstr>
  </property>
</Properties>
</file>